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alenciaGlobal\Code\RADIX\"/>
    </mc:Choice>
  </mc:AlternateContent>
  <xr:revisionPtr revIDLastSave="0" documentId="13_ncr:1_{635CC000-9BC2-4F69-BD29-D21D864698D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hecklist" sheetId="1" r:id="rId1"/>
    <sheet name="Summary" sheetId="2" r:id="rId2"/>
  </sheets>
  <definedNames>
    <definedName name="_xlnm._FilterDatabase" localSheetId="0" hidden="1">Checklist!$A$1:$H$21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2" l="1"/>
  <c r="B24" i="2"/>
  <c r="D24" i="2" s="1"/>
  <c r="C23" i="2"/>
  <c r="B23" i="2"/>
  <c r="D23" i="2" s="1"/>
  <c r="C22" i="2"/>
  <c r="B22" i="2"/>
  <c r="D22" i="2" s="1"/>
  <c r="C21" i="2"/>
  <c r="B21" i="2"/>
  <c r="D21" i="2" s="1"/>
  <c r="C20" i="2"/>
  <c r="B20" i="2"/>
  <c r="D20" i="2" s="1"/>
  <c r="C19" i="2"/>
  <c r="B19" i="2"/>
  <c r="D19" i="2" s="1"/>
  <c r="C16" i="2"/>
  <c r="B16" i="2"/>
  <c r="D16" i="2" s="1"/>
  <c r="C15" i="2"/>
  <c r="B15" i="2"/>
  <c r="D15" i="2" s="1"/>
  <c r="C14" i="2"/>
  <c r="B14" i="2"/>
  <c r="D14" i="2" s="1"/>
  <c r="C13" i="2"/>
  <c r="B13" i="2"/>
  <c r="D13" i="2" s="1"/>
  <c r="C12" i="2"/>
  <c r="B12" i="2"/>
  <c r="D12" i="2" s="1"/>
  <c r="B7" i="2"/>
  <c r="B6" i="2"/>
  <c r="B5" i="2"/>
  <c r="B4" i="2"/>
  <c r="B3" i="2"/>
  <c r="B8" i="2" s="1"/>
</calcChain>
</file>

<file path=xl/sharedStrings.xml><?xml version="1.0" encoding="utf-8"?>
<sst xmlns="http://schemas.openxmlformats.org/spreadsheetml/2006/main" count="152" uniqueCount="79">
  <si>
    <t>#</t>
  </si>
  <si>
    <t>Phase</t>
  </si>
  <si>
    <t>Owner</t>
  </si>
  <si>
    <t>Milestone</t>
  </si>
  <si>
    <t>Definition of Done</t>
  </si>
  <si>
    <t>Est. Time</t>
  </si>
  <si>
    <t>Status</t>
  </si>
  <si>
    <t>Notes</t>
  </si>
  <si>
    <t>Pre-work</t>
  </si>
  <si>
    <t>All</t>
  </si>
  <si>
    <t>Read the guide</t>
  </si>
  <si>
    <t>Every team member has read the Candidate Guide and the JD/Resume pack before 9:30</t>
  </si>
  <si>
    <t>Before day starts</t>
  </si>
  <si>
    <t>Not Started</t>
  </si>
  <si>
    <t>1</t>
  </si>
  <si>
    <t>Understand your role</t>
  </si>
  <si>
    <t>Each person can explain what they're building and exactly what they're handing off / receiving</t>
  </si>
  <si>
    <t>15 min</t>
  </si>
  <si>
    <t>Data contract locked</t>
  </si>
  <si>
    <t>Shared JSON schema for skills/profile/match agreed and written down somewhere everyone can see</t>
  </si>
  <si>
    <t>30 min</t>
  </si>
  <si>
    <t>Environment ready</t>
  </si>
  <si>
    <t>Python env, React scaffold, and sample JD/resume files accessible to everyone; each person can run a hello-world for their piece</t>
  </si>
  <si>
    <t>2</t>
  </si>
  <si>
    <t>JD Analytics</t>
  </si>
  <si>
    <t>JD text extraction</t>
  </si>
  <si>
    <t>Can load a PDF or DOCX JD and extract raw text</t>
  </si>
  <si>
    <t>JD skill extraction</t>
  </si>
  <si>
    <t>Produces a structured skill list in the agreed format for at least 3 of the 6 sample JDs</t>
  </si>
  <si>
    <t>60 min</t>
  </si>
  <si>
    <t>Resume Parsing</t>
  </si>
  <si>
    <t>Resume text extraction</t>
  </si>
  <si>
    <t>Can load a PDF or DOCX resume and extract raw text</t>
  </si>
  <si>
    <t>Resume skill extraction</t>
  </si>
  <si>
    <t>Produces a structured skill list in the agreed format for at least 2 of the 4 sample resumes</t>
  </si>
  <si>
    <t>Profile Builder</t>
  </si>
  <si>
    <t>Profile form complete</t>
  </si>
  <si>
    <t>Captures basic details, skills, hackathons/internships, certifications, preferred roles, and CV upload</t>
  </si>
  <si>
    <t>Profile save/load + merge</t>
  </si>
  <si>
    <t>A saved profile can be reloaded, and skills from Resume Parsing's output can be merged in</t>
  </si>
  <si>
    <t>45 min</t>
  </si>
  <si>
    <t>Talent Check</t>
  </si>
  <si>
    <t>Company skillset data loads</t>
  </si>
  <si>
    <t>Can load a company's 12-skillset requirement snapshot</t>
  </si>
  <si>
    <t>Talent Check scoring</t>
  </si>
  <si>
    <t>Comparing a saved profile to a selected company produces a readiness score and a per-skillset gap list</t>
  </si>
  <si>
    <t>Skill Matching</t>
  </si>
  <si>
    <t>JD skill list loads</t>
  </si>
  <si>
    <t>Can load one extracted JD skill list from JD Analytics' output</t>
  </si>
  <si>
    <t>20 min</t>
  </si>
  <si>
    <t>Skill match scoring</t>
  </si>
  <si>
    <t>Computes and displays a match score with matched and missing skills for a profile against that JD</t>
  </si>
  <si>
    <t>70 min</t>
  </si>
  <si>
    <t>3</t>
  </si>
  <si>
    <t>Modules talk to each other</t>
  </si>
  <si>
    <t>All 5 modules can read/write the shared JSON contract without errors when run back to back</t>
  </si>
  <si>
    <t>One shared screen</t>
  </si>
  <si>
    <t>End-to-end flow works inside one shared app: pick a JD -&gt; parse a resume -&gt; build/update profile -&gt; Talent Check -&gt; Skill Match</t>
  </si>
  <si>
    <t>40 min</t>
  </si>
  <si>
    <t>Two combos demoed</t>
  </si>
  <si>
    <t>At least 2 of the 6 JD/role combinations run successfully end-to-end</t>
  </si>
  <si>
    <t>Bugs triaged</t>
  </si>
  <si>
    <t>Known bugs/edge cases logged with a fix-if-time priority</t>
  </si>
  <si>
    <t>10 min</t>
  </si>
  <si>
    <t>4</t>
  </si>
  <si>
    <t>Walkthrough ready</t>
  </si>
  <si>
    <t>5-8 minute script or slides ready: problem, architecture, live demo, one challenge faced</t>
  </si>
  <si>
    <t>Demo rehearsed</t>
  </si>
  <si>
    <t>Live demo rehearsed at least once, end to end, without a mentor's help</t>
  </si>
  <si>
    <t>RADIX Talent Match Hackathon — Progress Summary</t>
  </si>
  <si>
    <t>Total milestones</t>
  </si>
  <si>
    <t>Done</t>
  </si>
  <si>
    <t>In Progress</t>
  </si>
  <si>
    <t>Blocked</t>
  </si>
  <si>
    <t>% Complete</t>
  </si>
  <si>
    <t>By Phase</t>
  </si>
  <si>
    <t>By Owner</t>
  </si>
  <si>
    <t>Total</t>
  </si>
  <si>
    <t>%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</si>
</sst>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.5"/>
      <name val="Arial"/>
      <charset val="1"/>
    </font>
    <font>
      <b/>
      <sz val="14"/>
      <color rgb="FF14324D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2"/>
      <color rgb="FF14324D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4324D"/>
        <bgColor rgb="FF333333"/>
      </patternFill>
    </fill>
    <fill>
      <patternFill patternType="solid">
        <fgColor rgb="FFEEF2F6"/>
        <bgColor rgb="FFFFFFFF"/>
      </patternFill>
    </fill>
    <fill>
      <patternFill patternType="solid">
        <fgColor rgb="FFFFFFFF"/>
        <bgColor rgb="FFEEF2F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 wrapText="1"/>
    </xf>
    <xf numFmtId="0" fontId="4" fillId="0" borderId="0" xfId="0" applyFont="1"/>
    <xf numFmtId="9" fontId="5" fillId="0" borderId="0" xfId="0" applyNumberFormat="1" applyFont="1"/>
    <xf numFmtId="0" fontId="6" fillId="0" borderId="0" xfId="0" applyFont="1"/>
    <xf numFmtId="0" fontId="1" fillId="2" borderId="1" xfId="0" applyFont="1" applyFill="1" applyBorder="1"/>
    <xf numFmtId="0" fontId="2" fillId="0" borderId="1" xfId="0" applyFont="1" applyBorder="1"/>
    <xf numFmtId="9" fontId="2" fillId="0" borderId="1" xfId="0" applyNumberFormat="1" applyFont="1" applyBorder="1"/>
  </cellXfs>
  <cellStyles count="1">
    <cellStyle name="Normal" xfId="0" builtinId="0"/>
  </cellStyles>
  <dxfs count="3"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CCCCC"/>
      <rgbColor rgb="FF808080"/>
      <rgbColor rgb="FF9999FF"/>
      <rgbColor rgb="FF993366"/>
      <rgbColor rgb="FFEEF2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324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5" customWidth="1"/>
    <col min="2" max="2" width="9" customWidth="1"/>
    <col min="3" max="3" width="15" customWidth="1"/>
    <col min="4" max="4" width="24" customWidth="1"/>
    <col min="5" max="5" width="58" customWidth="1"/>
    <col min="6" max="6" width="13" customWidth="1"/>
    <col min="7" max="7" width="14" customWidth="1"/>
    <col min="8" max="8" width="26" customWidth="1"/>
  </cols>
  <sheetData>
    <row r="1" spans="1:8" ht="19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7" x14ac:dyDescent="0.35">
      <c r="A2" s="3">
        <v>1</v>
      </c>
      <c r="B2" s="3" t="s">
        <v>8</v>
      </c>
      <c r="C2" s="3" t="s">
        <v>9</v>
      </c>
      <c r="D2" s="4" t="s">
        <v>10</v>
      </c>
      <c r="E2" s="4" t="s">
        <v>11</v>
      </c>
      <c r="F2" s="3" t="s">
        <v>12</v>
      </c>
      <c r="G2" s="5" t="s">
        <v>13</v>
      </c>
      <c r="H2" s="3"/>
    </row>
    <row r="3" spans="1:8" ht="27" x14ac:dyDescent="0.35">
      <c r="A3" s="6">
        <v>2</v>
      </c>
      <c r="B3" s="6" t="s">
        <v>14</v>
      </c>
      <c r="C3" s="6" t="s">
        <v>9</v>
      </c>
      <c r="D3" s="7" t="s">
        <v>15</v>
      </c>
      <c r="E3" s="7" t="s">
        <v>16</v>
      </c>
      <c r="F3" s="6" t="s">
        <v>17</v>
      </c>
      <c r="G3" s="5" t="s">
        <v>13</v>
      </c>
      <c r="H3" s="6"/>
    </row>
    <row r="4" spans="1:8" ht="27" x14ac:dyDescent="0.35">
      <c r="A4" s="3">
        <v>3</v>
      </c>
      <c r="B4" s="3" t="s">
        <v>14</v>
      </c>
      <c r="C4" s="3" t="s">
        <v>9</v>
      </c>
      <c r="D4" s="4" t="s">
        <v>18</v>
      </c>
      <c r="E4" s="4" t="s">
        <v>19</v>
      </c>
      <c r="F4" s="3" t="s">
        <v>20</v>
      </c>
      <c r="G4" s="5" t="s">
        <v>13</v>
      </c>
      <c r="H4" s="3"/>
    </row>
    <row r="5" spans="1:8" ht="40.5" x14ac:dyDescent="0.35">
      <c r="A5" s="6">
        <v>4</v>
      </c>
      <c r="B5" s="6" t="s">
        <v>14</v>
      </c>
      <c r="C5" s="6" t="s">
        <v>9</v>
      </c>
      <c r="D5" s="7" t="s">
        <v>21</v>
      </c>
      <c r="E5" s="7" t="s">
        <v>22</v>
      </c>
      <c r="F5" s="6" t="s">
        <v>17</v>
      </c>
      <c r="G5" s="5" t="s">
        <v>13</v>
      </c>
      <c r="H5" s="6"/>
    </row>
    <row r="6" spans="1:8" x14ac:dyDescent="0.35">
      <c r="A6" s="3">
        <v>5</v>
      </c>
      <c r="B6" s="3" t="s">
        <v>23</v>
      </c>
      <c r="C6" s="3" t="s">
        <v>24</v>
      </c>
      <c r="D6" s="4" t="s">
        <v>25</v>
      </c>
      <c r="E6" s="4" t="s">
        <v>26</v>
      </c>
      <c r="F6" s="3" t="s">
        <v>20</v>
      </c>
      <c r="G6" s="5" t="s">
        <v>13</v>
      </c>
      <c r="H6" s="3"/>
    </row>
    <row r="7" spans="1:8" ht="27" x14ac:dyDescent="0.35">
      <c r="A7" s="6">
        <v>6</v>
      </c>
      <c r="B7" s="6" t="s">
        <v>23</v>
      </c>
      <c r="C7" s="6" t="s">
        <v>24</v>
      </c>
      <c r="D7" s="7" t="s">
        <v>27</v>
      </c>
      <c r="E7" s="7" t="s">
        <v>28</v>
      </c>
      <c r="F7" s="6" t="s">
        <v>29</v>
      </c>
      <c r="G7" s="5" t="s">
        <v>13</v>
      </c>
      <c r="H7" s="6"/>
    </row>
    <row r="8" spans="1:8" x14ac:dyDescent="0.35">
      <c r="A8" s="3">
        <v>7</v>
      </c>
      <c r="B8" s="3" t="s">
        <v>23</v>
      </c>
      <c r="C8" s="3" t="s">
        <v>30</v>
      </c>
      <c r="D8" s="4" t="s">
        <v>31</v>
      </c>
      <c r="E8" s="4" t="s">
        <v>32</v>
      </c>
      <c r="F8" s="3" t="s">
        <v>20</v>
      </c>
      <c r="G8" s="5" t="s">
        <v>13</v>
      </c>
      <c r="H8" s="3"/>
    </row>
    <row r="9" spans="1:8" ht="27" x14ac:dyDescent="0.35">
      <c r="A9" s="6">
        <v>8</v>
      </c>
      <c r="B9" s="6" t="s">
        <v>23</v>
      </c>
      <c r="C9" s="6" t="s">
        <v>30</v>
      </c>
      <c r="D9" s="7" t="s">
        <v>33</v>
      </c>
      <c r="E9" s="7" t="s">
        <v>34</v>
      </c>
      <c r="F9" s="6" t="s">
        <v>29</v>
      </c>
      <c r="G9" s="5" t="s">
        <v>13</v>
      </c>
      <c r="H9" s="6"/>
    </row>
    <row r="10" spans="1:8" ht="27" x14ac:dyDescent="0.35">
      <c r="A10" s="3">
        <v>9</v>
      </c>
      <c r="B10" s="3" t="s">
        <v>23</v>
      </c>
      <c r="C10" s="3" t="s">
        <v>35</v>
      </c>
      <c r="D10" s="4" t="s">
        <v>36</v>
      </c>
      <c r="E10" s="4" t="s">
        <v>37</v>
      </c>
      <c r="F10" s="3" t="s">
        <v>29</v>
      </c>
      <c r="G10" s="5" t="s">
        <v>13</v>
      </c>
      <c r="H10" s="3"/>
    </row>
    <row r="11" spans="1:8" ht="27" x14ac:dyDescent="0.35">
      <c r="A11" s="6">
        <v>10</v>
      </c>
      <c r="B11" s="6" t="s">
        <v>23</v>
      </c>
      <c r="C11" s="6" t="s">
        <v>35</v>
      </c>
      <c r="D11" s="7" t="s">
        <v>38</v>
      </c>
      <c r="E11" s="7" t="s">
        <v>39</v>
      </c>
      <c r="F11" s="6" t="s">
        <v>40</v>
      </c>
      <c r="G11" s="5" t="s">
        <v>13</v>
      </c>
      <c r="H11" s="6"/>
    </row>
    <row r="12" spans="1:8" ht="27" x14ac:dyDescent="0.35">
      <c r="A12" s="3">
        <v>11</v>
      </c>
      <c r="B12" s="3" t="s">
        <v>23</v>
      </c>
      <c r="C12" s="3" t="s">
        <v>41</v>
      </c>
      <c r="D12" s="4" t="s">
        <v>42</v>
      </c>
      <c r="E12" s="4" t="s">
        <v>43</v>
      </c>
      <c r="F12" s="3" t="s">
        <v>20</v>
      </c>
      <c r="G12" s="5" t="s">
        <v>13</v>
      </c>
      <c r="H12" s="3"/>
    </row>
    <row r="13" spans="1:8" ht="27" x14ac:dyDescent="0.35">
      <c r="A13" s="6">
        <v>12</v>
      </c>
      <c r="B13" s="6" t="s">
        <v>23</v>
      </c>
      <c r="C13" s="6" t="s">
        <v>41</v>
      </c>
      <c r="D13" s="7" t="s">
        <v>44</v>
      </c>
      <c r="E13" s="7" t="s">
        <v>45</v>
      </c>
      <c r="F13" s="6" t="s">
        <v>29</v>
      </c>
      <c r="G13" s="5" t="s">
        <v>13</v>
      </c>
      <c r="H13" s="6"/>
    </row>
    <row r="14" spans="1:8" x14ac:dyDescent="0.35">
      <c r="A14" s="3">
        <v>13</v>
      </c>
      <c r="B14" s="3" t="s">
        <v>23</v>
      </c>
      <c r="C14" s="3" t="s">
        <v>46</v>
      </c>
      <c r="D14" s="4" t="s">
        <v>47</v>
      </c>
      <c r="E14" s="4" t="s">
        <v>48</v>
      </c>
      <c r="F14" s="3" t="s">
        <v>49</v>
      </c>
      <c r="G14" s="5" t="s">
        <v>13</v>
      </c>
      <c r="H14" s="3"/>
    </row>
    <row r="15" spans="1:8" ht="27" x14ac:dyDescent="0.35">
      <c r="A15" s="6">
        <v>14</v>
      </c>
      <c r="B15" s="6" t="s">
        <v>23</v>
      </c>
      <c r="C15" s="6" t="s">
        <v>46</v>
      </c>
      <c r="D15" s="7" t="s">
        <v>50</v>
      </c>
      <c r="E15" s="7" t="s">
        <v>51</v>
      </c>
      <c r="F15" s="6" t="s">
        <v>52</v>
      </c>
      <c r="G15" s="5" t="s">
        <v>13</v>
      </c>
      <c r="H15" s="6"/>
    </row>
    <row r="16" spans="1:8" ht="27" x14ac:dyDescent="0.35">
      <c r="A16" s="3">
        <v>15</v>
      </c>
      <c r="B16" s="3" t="s">
        <v>53</v>
      </c>
      <c r="C16" s="3" t="s">
        <v>9</v>
      </c>
      <c r="D16" s="4" t="s">
        <v>54</v>
      </c>
      <c r="E16" s="4" t="s">
        <v>55</v>
      </c>
      <c r="F16" s="3" t="s">
        <v>49</v>
      </c>
      <c r="G16" s="5" t="s">
        <v>13</v>
      </c>
      <c r="H16" s="3"/>
    </row>
    <row r="17" spans="1:8" ht="27" x14ac:dyDescent="0.35">
      <c r="A17" s="6">
        <v>16</v>
      </c>
      <c r="B17" s="6" t="s">
        <v>53</v>
      </c>
      <c r="C17" s="6" t="s">
        <v>9</v>
      </c>
      <c r="D17" s="7" t="s">
        <v>56</v>
      </c>
      <c r="E17" s="7" t="s">
        <v>57</v>
      </c>
      <c r="F17" s="6" t="s">
        <v>58</v>
      </c>
      <c r="G17" s="5" t="s">
        <v>13</v>
      </c>
      <c r="H17" s="6"/>
    </row>
    <row r="18" spans="1:8" ht="27" x14ac:dyDescent="0.35">
      <c r="A18" s="3">
        <v>17</v>
      </c>
      <c r="B18" s="3" t="s">
        <v>53</v>
      </c>
      <c r="C18" s="3" t="s">
        <v>9</v>
      </c>
      <c r="D18" s="4" t="s">
        <v>59</v>
      </c>
      <c r="E18" s="4" t="s">
        <v>60</v>
      </c>
      <c r="F18" s="3" t="s">
        <v>49</v>
      </c>
      <c r="G18" s="5" t="s">
        <v>13</v>
      </c>
      <c r="H18" s="3"/>
    </row>
    <row r="19" spans="1:8" x14ac:dyDescent="0.35">
      <c r="A19" s="6">
        <v>18</v>
      </c>
      <c r="B19" s="6" t="s">
        <v>53</v>
      </c>
      <c r="C19" s="6" t="s">
        <v>9</v>
      </c>
      <c r="D19" s="7" t="s">
        <v>61</v>
      </c>
      <c r="E19" s="7" t="s">
        <v>62</v>
      </c>
      <c r="F19" s="6" t="s">
        <v>63</v>
      </c>
      <c r="G19" s="5" t="s">
        <v>13</v>
      </c>
      <c r="H19" s="6"/>
    </row>
    <row r="20" spans="1:8" ht="27" x14ac:dyDescent="0.35">
      <c r="A20" s="3">
        <v>19</v>
      </c>
      <c r="B20" s="3" t="s">
        <v>64</v>
      </c>
      <c r="C20" s="3" t="s">
        <v>9</v>
      </c>
      <c r="D20" s="4" t="s">
        <v>65</v>
      </c>
      <c r="E20" s="4" t="s">
        <v>66</v>
      </c>
      <c r="F20" s="3" t="s">
        <v>20</v>
      </c>
      <c r="G20" s="5" t="s">
        <v>13</v>
      </c>
      <c r="H20" s="3"/>
    </row>
    <row r="21" spans="1:8" ht="27" x14ac:dyDescent="0.35">
      <c r="A21" s="6">
        <v>20</v>
      </c>
      <c r="B21" s="6" t="s">
        <v>64</v>
      </c>
      <c r="C21" s="6" t="s">
        <v>9</v>
      </c>
      <c r="D21" s="7" t="s">
        <v>67</v>
      </c>
      <c r="E21" s="7" t="s">
        <v>68</v>
      </c>
      <c r="F21" s="6" t="s">
        <v>17</v>
      </c>
      <c r="G21" s="5" t="s">
        <v>13</v>
      </c>
      <c r="H21" s="6"/>
    </row>
  </sheetData>
  <autoFilter ref="A1:H21" xr:uid="{00000000-0009-0000-0000-000000000000}"/>
  <conditionalFormatting sqref="G2:G21">
    <cfRule type="cellIs" dxfId="2" priority="2" operator="equal">
      <formula>"Done"</formula>
    </cfRule>
    <cfRule type="cellIs" dxfId="1" priority="3" operator="equal">
      <formula>"In Progress"</formula>
    </cfRule>
    <cfRule type="cellIs" dxfId="0" priority="4" operator="equal">
      <formula>"Blocked"</formula>
    </cfRule>
  </conditionalFormatting>
  <dataValidations count="1">
    <dataValidation type="list" sqref="G2:G21" xr:uid="{00000000-0002-0000-0000-000000000000}">
      <formula1>"Not Started,In Progress,Blocked,Done"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zoomScaleNormal="100" workbookViewId="0"/>
  </sheetViews>
  <sheetFormatPr defaultColWidth="8.6328125" defaultRowHeight="14.5" x14ac:dyDescent="0.35"/>
  <cols>
    <col min="1" max="1" width="22" customWidth="1"/>
    <col min="2" max="4" width="10" customWidth="1"/>
  </cols>
  <sheetData>
    <row r="1" spans="1:4" ht="18" x14ac:dyDescent="0.4">
      <c r="A1" s="1" t="s">
        <v>69</v>
      </c>
      <c r="B1" s="1"/>
      <c r="C1" s="1"/>
      <c r="D1" s="1"/>
    </row>
    <row r="3" spans="1:4" x14ac:dyDescent="0.35">
      <c r="A3" s="8" t="s">
        <v>70</v>
      </c>
      <c r="B3" s="8">
        <f>COUNTA(Checklist!A2:A21)</f>
        <v>20</v>
      </c>
    </row>
    <row r="4" spans="1:4" x14ac:dyDescent="0.35">
      <c r="A4" s="8" t="s">
        <v>71</v>
      </c>
      <c r="B4" s="8">
        <f>COUNTIF(Checklist!G2:G21,"Done")</f>
        <v>0</v>
      </c>
    </row>
    <row r="5" spans="1:4" x14ac:dyDescent="0.35">
      <c r="A5" s="8" t="s">
        <v>72</v>
      </c>
      <c r="B5" s="8">
        <f>COUNTIF(Checklist!G2:G21,"In Progress")</f>
        <v>0</v>
      </c>
    </row>
    <row r="6" spans="1:4" x14ac:dyDescent="0.35">
      <c r="A6" s="8" t="s">
        <v>73</v>
      </c>
      <c r="B6" s="8">
        <f>COUNTIF(Checklist!G2:G21,"Blocked")</f>
        <v>0</v>
      </c>
    </row>
    <row r="7" spans="1:4" x14ac:dyDescent="0.35">
      <c r="A7" s="8" t="s">
        <v>13</v>
      </c>
      <c r="B7" s="8">
        <f>COUNTIF(Checklist!G2:G21,"Not Started")</f>
        <v>20</v>
      </c>
    </row>
    <row r="8" spans="1:4" x14ac:dyDescent="0.35">
      <c r="A8" s="8" t="s">
        <v>74</v>
      </c>
      <c r="B8" s="9">
        <f>B4/B3</f>
        <v>0</v>
      </c>
    </row>
    <row r="10" spans="1:4" ht="15.5" x14ac:dyDescent="0.35">
      <c r="A10" s="10" t="s">
        <v>75</v>
      </c>
    </row>
    <row r="11" spans="1:4" x14ac:dyDescent="0.35">
      <c r="A11" s="11"/>
      <c r="B11" s="11"/>
      <c r="C11" s="11"/>
      <c r="D11" s="11"/>
    </row>
    <row r="12" spans="1:4" x14ac:dyDescent="0.35">
      <c r="A12" s="12" t="s">
        <v>8</v>
      </c>
      <c r="B12" s="12">
        <f>COUNTIF(Checklist!B2:B21,A12)</f>
        <v>1</v>
      </c>
      <c r="C12" s="12">
        <f>COUNTIFS(Checklist!B2:B21,A12,Checklist!G2:G21,"Done")</f>
        <v>0</v>
      </c>
      <c r="D12" s="13">
        <f>IF(B12=0,0,C12/B12)</f>
        <v>0</v>
      </c>
    </row>
    <row r="13" spans="1:4" x14ac:dyDescent="0.35">
      <c r="A13" s="12" t="s">
        <v>14</v>
      </c>
      <c r="B13" s="12">
        <f>COUNTIF(Checklist!B2:B21,A13)</f>
        <v>3</v>
      </c>
      <c r="C13" s="12">
        <f>COUNTIFS(Checklist!B2:B21,A13,Checklist!G2:G21,"Done")</f>
        <v>0</v>
      </c>
      <c r="D13" s="13">
        <f>IF(B13=0,0,C13/B13)</f>
        <v>0</v>
      </c>
    </row>
    <row r="14" spans="1:4" x14ac:dyDescent="0.35">
      <c r="A14" s="12" t="s">
        <v>23</v>
      </c>
      <c r="B14" s="12">
        <f>COUNTIF(Checklist!B2:B21,A14)</f>
        <v>10</v>
      </c>
      <c r="C14" s="12">
        <f>COUNTIFS(Checklist!B2:B21,A14,Checklist!G2:G21,"Done")</f>
        <v>0</v>
      </c>
      <c r="D14" s="13">
        <f>IF(B14=0,0,C14/B14)</f>
        <v>0</v>
      </c>
    </row>
    <row r="15" spans="1:4" x14ac:dyDescent="0.35">
      <c r="A15" s="12" t="s">
        <v>53</v>
      </c>
      <c r="B15" s="12">
        <f>COUNTIF(Checklist!B2:B21,A15)</f>
        <v>4</v>
      </c>
      <c r="C15" s="12">
        <f>COUNTIFS(Checklist!B2:B21,A15,Checklist!G2:G21,"Done")</f>
        <v>0</v>
      </c>
      <c r="D15" s="13">
        <f>IF(B15=0,0,C15/B15)</f>
        <v>0</v>
      </c>
    </row>
    <row r="16" spans="1:4" x14ac:dyDescent="0.35">
      <c r="A16" s="12" t="s">
        <v>64</v>
      </c>
      <c r="B16" s="12">
        <f>COUNTIF(Checklist!B2:B21,A16)</f>
        <v>2</v>
      </c>
      <c r="C16" s="12">
        <f>COUNTIFS(Checklist!B2:B21,A16,Checklist!G2:G21,"Done")</f>
        <v>0</v>
      </c>
      <c r="D16" s="13">
        <f>IF(B16=0,0,C16/B16)</f>
        <v>0</v>
      </c>
    </row>
    <row r="17" spans="1:4" ht="15.5" x14ac:dyDescent="0.35">
      <c r="A17" s="10" t="s">
        <v>76</v>
      </c>
    </row>
    <row r="18" spans="1:4" x14ac:dyDescent="0.35">
      <c r="A18" s="11" t="s">
        <v>2</v>
      </c>
      <c r="B18" s="11" t="s">
        <v>77</v>
      </c>
      <c r="C18" s="11" t="s">
        <v>71</v>
      </c>
      <c r="D18" s="11" t="s">
        <v>78</v>
      </c>
    </row>
    <row r="19" spans="1:4" x14ac:dyDescent="0.35">
      <c r="A19" s="12" t="s">
        <v>9</v>
      </c>
      <c r="B19" s="12">
        <f>COUNTIF(Checklist!C2:C21,A19)</f>
        <v>10</v>
      </c>
      <c r="C19" s="12">
        <f>COUNTIFS(Checklist!C2:C21,A19,Checklist!G2:G21,"Done")</f>
        <v>0</v>
      </c>
      <c r="D19" s="13">
        <f t="shared" ref="D19:D24" si="0">IF(B19=0,0,C19/B19)</f>
        <v>0</v>
      </c>
    </row>
    <row r="20" spans="1:4" x14ac:dyDescent="0.35">
      <c r="A20" s="12" t="s">
        <v>24</v>
      </c>
      <c r="B20" s="12">
        <f>COUNTIF(Checklist!C2:C21,A20)</f>
        <v>2</v>
      </c>
      <c r="C20" s="12">
        <f>COUNTIFS(Checklist!C2:C21,A20,Checklist!G2:G21,"Done")</f>
        <v>0</v>
      </c>
      <c r="D20" s="13">
        <f t="shared" si="0"/>
        <v>0</v>
      </c>
    </row>
    <row r="21" spans="1:4" x14ac:dyDescent="0.35">
      <c r="A21" s="12" t="s">
        <v>30</v>
      </c>
      <c r="B21" s="12">
        <f>COUNTIF(Checklist!C2:C21,A21)</f>
        <v>2</v>
      </c>
      <c r="C21" s="12">
        <f>COUNTIFS(Checklist!C2:C21,A21,Checklist!G2:G21,"Done")</f>
        <v>0</v>
      </c>
      <c r="D21" s="13">
        <f t="shared" si="0"/>
        <v>0</v>
      </c>
    </row>
    <row r="22" spans="1:4" x14ac:dyDescent="0.35">
      <c r="A22" s="12" t="s">
        <v>35</v>
      </c>
      <c r="B22" s="12">
        <f>COUNTIF(Checklist!C2:C21,A22)</f>
        <v>2</v>
      </c>
      <c r="C22" s="12">
        <f>COUNTIFS(Checklist!C2:C21,A22,Checklist!G2:G21,"Done")</f>
        <v>0</v>
      </c>
      <c r="D22" s="13">
        <f t="shared" si="0"/>
        <v>0</v>
      </c>
    </row>
    <row r="23" spans="1:4" x14ac:dyDescent="0.35">
      <c r="A23" s="12" t="s">
        <v>41</v>
      </c>
      <c r="B23" s="12">
        <f>COUNTIF(Checklist!C2:C21,A23)</f>
        <v>2</v>
      </c>
      <c r="C23" s="12">
        <f>COUNTIFS(Checklist!C2:C21,A23,Checklist!G2:G21,"Done")</f>
        <v>0</v>
      </c>
      <c r="D23" s="13">
        <f t="shared" si="0"/>
        <v>0</v>
      </c>
    </row>
    <row r="24" spans="1:4" x14ac:dyDescent="0.35">
      <c r="A24" s="12" t="s">
        <v>46</v>
      </c>
      <c r="B24" s="12">
        <f>COUNTIF(Checklist!C2:C21,A24)</f>
        <v>2</v>
      </c>
      <c r="C24" s="12">
        <f>COUNTIFS(Checklist!C2:C21,A24,Checklist!G2:G21,"Done")</f>
        <v>0</v>
      </c>
      <c r="D24" s="13">
        <f t="shared" si="0"/>
        <v>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Yahya Adhikari</cp:lastModifiedBy>
  <cp:revision>0</cp:revision>
  <dcterms:created xsi:type="dcterms:W3CDTF">2026-07-03T12:18:49Z</dcterms:created>
  <dcterms:modified xsi:type="dcterms:W3CDTF">2026-07-06T05:38:21Z</dcterms:modified>
  <dc:language>en-US</dc:language>
</cp:coreProperties>
</file>